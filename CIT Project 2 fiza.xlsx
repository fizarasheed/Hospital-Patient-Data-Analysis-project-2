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86 Computers\Downloads\"/>
    </mc:Choice>
  </mc:AlternateContent>
  <bookViews>
    <workbookView xWindow="0" yWindow="0" windowWidth="20490" windowHeight="7755"/>
  </bookViews>
  <sheets>
    <sheet name="Sheet5" sheetId="8" r:id="rId1"/>
    <sheet name="Hospital Data" sheetId="1" r:id="rId2"/>
    <sheet name="Formula Summary" sheetId="2" r:id="rId3"/>
    <sheet name="Pivot Table" sheetId="3" r:id="rId4"/>
  </sheets>
  <definedNames>
    <definedName name="_xlnm._FilterDatabase" localSheetId="1" hidden="1">'Hospital Data'!$A$2:$N$12</definedName>
  </definedNames>
  <calcPr calcId="152511"/>
  <pivotCaches>
    <pivotCache cacheId="49" r:id="rId5"/>
  </pivotCaches>
  <fileRecoveryPr repairLoad="1"/>
</workbook>
</file>

<file path=xl/calcChain.xml><?xml version="1.0" encoding="utf-8"?>
<calcChain xmlns="http://schemas.openxmlformats.org/spreadsheetml/2006/main">
  <c r="C16" i="1" l="1"/>
  <c r="C15" i="1"/>
  <c r="C17" i="1"/>
  <c r="C18" i="1"/>
  <c r="C19" i="1"/>
  <c r="C20" i="1"/>
  <c r="C21" i="1"/>
  <c r="C22" i="1"/>
  <c r="C23" i="1"/>
  <c r="C24" i="1"/>
  <c r="B16" i="1"/>
  <c r="B17" i="1"/>
  <c r="B18" i="1"/>
  <c r="B19" i="1"/>
  <c r="B20" i="1"/>
  <c r="B21" i="1"/>
  <c r="B22" i="1"/>
  <c r="B23" i="1"/>
  <c r="B24" i="1"/>
  <c r="B15" i="1"/>
  <c r="B8" i="2"/>
  <c r="B7" i="2"/>
  <c r="B7" i="3"/>
  <c r="B6" i="3"/>
  <c r="B5" i="3"/>
  <c r="B4" i="3"/>
  <c r="B3" i="3"/>
  <c r="B6" i="2"/>
  <c r="B5" i="2"/>
  <c r="B4" i="2"/>
  <c r="B3" i="2"/>
  <c r="J12" i="1"/>
  <c r="L12" i="1" s="1"/>
  <c r="J11" i="1"/>
  <c r="L11" i="1" s="1"/>
  <c r="J10" i="1"/>
  <c r="L10" i="1" s="1"/>
  <c r="J9" i="1"/>
  <c r="L9" i="1" s="1"/>
  <c r="J8" i="1"/>
  <c r="L8" i="1" s="1"/>
  <c r="J7" i="1"/>
  <c r="L7" i="1" s="1"/>
  <c r="J6" i="1"/>
  <c r="L6" i="1" s="1"/>
  <c r="J5" i="1"/>
  <c r="L5" i="1" s="1"/>
  <c r="J4" i="1"/>
  <c r="L4" i="1" s="1"/>
  <c r="J3" i="1"/>
  <c r="L3" i="1" s="1"/>
  <c r="D5" i="3" l="1"/>
  <c r="C5" i="3"/>
  <c r="D4" i="3"/>
  <c r="C4" i="3"/>
  <c r="C6" i="3"/>
  <c r="D6" i="3"/>
  <c r="D3" i="3"/>
  <c r="B12" i="2"/>
  <c r="C3" i="3"/>
  <c r="B11" i="2"/>
  <c r="B9" i="2"/>
  <c r="B10" i="2"/>
  <c r="B13" i="2"/>
  <c r="D7" i="3"/>
  <c r="C7" i="3"/>
  <c r="B14" i="2" l="1"/>
</calcChain>
</file>

<file path=xl/sharedStrings.xml><?xml version="1.0" encoding="utf-8"?>
<sst xmlns="http://schemas.openxmlformats.org/spreadsheetml/2006/main" count="146" uniqueCount="76">
  <si>
    <t>HOSPITAL MANAGEMENT SYSTEM - PATIENT RECORD &amp; BILLING</t>
  </si>
  <si>
    <t>Patient ID</t>
  </si>
  <si>
    <t>Patient Name</t>
  </si>
  <si>
    <t>Department</t>
  </si>
  <si>
    <t>Age</t>
  </si>
  <si>
    <t>Days Admitted</t>
  </si>
  <si>
    <t>Daily Charge</t>
  </si>
  <si>
    <t>Medicine Cost</t>
  </si>
  <si>
    <t>Test Cost</t>
  </si>
  <si>
    <t>Total Cost</t>
  </si>
  <si>
    <t>Discount</t>
  </si>
  <si>
    <t>Final Bill</t>
  </si>
  <si>
    <t>Status</t>
  </si>
  <si>
    <t>P001</t>
  </si>
  <si>
    <t>Ali Khan</t>
  </si>
  <si>
    <t>Cardiology</t>
  </si>
  <si>
    <t>Paid</t>
  </si>
  <si>
    <t>P002</t>
  </si>
  <si>
    <t>Sara Ahmed</t>
  </si>
  <si>
    <t>Neurology</t>
  </si>
  <si>
    <t>Pending</t>
  </si>
  <si>
    <t>P003</t>
  </si>
  <si>
    <t>Hamza Ali</t>
  </si>
  <si>
    <t>Orthopedics</t>
  </si>
  <si>
    <t>P004</t>
  </si>
  <si>
    <t>Ayesha Noor</t>
  </si>
  <si>
    <t>Pediatrics</t>
  </si>
  <si>
    <t>P005</t>
  </si>
  <si>
    <t>Bilal Hussain</t>
  </si>
  <si>
    <t>General Medicine</t>
  </si>
  <si>
    <t>P006</t>
  </si>
  <si>
    <t>Hina Fatima</t>
  </si>
  <si>
    <t>P007</t>
  </si>
  <si>
    <t>Usman Raza</t>
  </si>
  <si>
    <t>P008</t>
  </si>
  <si>
    <t>Zainab Malik</t>
  </si>
  <si>
    <t>P009</t>
  </si>
  <si>
    <t>Ahmed Raza</t>
  </si>
  <si>
    <t>P010</t>
  </si>
  <si>
    <t>Maryam Noor</t>
  </si>
  <si>
    <t>HOSPITAL FORMULA SUMMARY</t>
  </si>
  <si>
    <t>Calculation</t>
  </si>
  <si>
    <t>Result</t>
  </si>
  <si>
    <t>MIN Age</t>
  </si>
  <si>
    <t>MAX Age</t>
  </si>
  <si>
    <t>AVERAGE Age</t>
  </si>
  <si>
    <t>COUNT Patients</t>
  </si>
  <si>
    <t>COUNTIF Paid</t>
  </si>
  <si>
    <t>COUNTIF Pending</t>
  </si>
  <si>
    <t>SUM Final Bills</t>
  </si>
  <si>
    <t>SUMIF Paid Bills</t>
  </si>
  <si>
    <t>AVERAGE Final Bill</t>
  </si>
  <si>
    <t>MAX Final Bill</t>
  </si>
  <si>
    <t>MIN Final Bill</t>
  </si>
  <si>
    <t>HOSPITAL DEPARTMENT PIVOT TABLE</t>
  </si>
  <si>
    <t>Patient Count</t>
  </si>
  <si>
    <t>Total Bill</t>
  </si>
  <si>
    <t>Average Bill</t>
  </si>
  <si>
    <t>Gender</t>
  </si>
  <si>
    <t xml:space="preserve">Male </t>
  </si>
  <si>
    <t>Female</t>
  </si>
  <si>
    <t xml:space="preserve">Female </t>
  </si>
  <si>
    <t xml:space="preserve">  Female</t>
  </si>
  <si>
    <t>male</t>
  </si>
  <si>
    <t>Row Labels</t>
  </si>
  <si>
    <t>Grand Total</t>
  </si>
  <si>
    <t>Payment</t>
  </si>
  <si>
    <t>Discharge</t>
  </si>
  <si>
    <t>Under Treatment</t>
  </si>
  <si>
    <t>Waiting</t>
  </si>
  <si>
    <t xml:space="preserve"> Under Treatment</t>
  </si>
  <si>
    <t>COUNTA TOTAL PATIENTS</t>
  </si>
  <si>
    <t xml:space="preserve">CALCULATION </t>
  </si>
  <si>
    <t xml:space="preserve">PAYMENT </t>
  </si>
  <si>
    <t xml:space="preserve">STATUS </t>
  </si>
  <si>
    <t>Count of Patient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</si>
</sst>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1"/>
      <color theme="1"/>
      <name val="Bodoni MT"/>
      <family val="1"/>
    </font>
    <font>
      <b/>
      <sz val="16"/>
      <name val="Book Antiqua"/>
      <family val="1"/>
    </font>
    <font>
      <sz val="11"/>
      <color theme="1"/>
      <name val="Book Antiqua"/>
      <family val="1"/>
    </font>
    <font>
      <b/>
      <sz val="11"/>
      <name val="Book Antiqua"/>
      <family val="1"/>
    </font>
    <font>
      <sz val="12"/>
      <color theme="1"/>
      <name val="Bodoni MT"/>
      <family val="1"/>
    </font>
    <font>
      <b/>
      <sz val="11"/>
      <color theme="1"/>
      <name val="Bodoni MT"/>
      <family val="1"/>
    </font>
    <font>
      <b/>
      <sz val="12"/>
      <color theme="1"/>
      <name val="Bodoni MT"/>
      <family val="1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9FC5E8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9"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Summary'!$B$2</c:f>
              <c:strCache>
                <c:ptCount val="1"/>
                <c:pt idx="0">
                  <c:v>Result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'Formula Summary'!$A$3:$A$14</c:f>
              <c:strCache>
                <c:ptCount val="12"/>
                <c:pt idx="0">
                  <c:v>MIN Age</c:v>
                </c:pt>
                <c:pt idx="1">
                  <c:v>MAX Age</c:v>
                </c:pt>
                <c:pt idx="2">
                  <c:v>AVERAGE Age</c:v>
                </c:pt>
                <c:pt idx="3">
                  <c:v>COUNT Patients</c:v>
                </c:pt>
                <c:pt idx="4">
                  <c:v>COUNTIF Paid</c:v>
                </c:pt>
                <c:pt idx="5">
                  <c:v>COUNTIF Pending</c:v>
                </c:pt>
                <c:pt idx="6">
                  <c:v>SUM Final Bills</c:v>
                </c:pt>
                <c:pt idx="7">
                  <c:v>SUMIF Paid Bills</c:v>
                </c:pt>
                <c:pt idx="8">
                  <c:v>AVERAGE Final Bill</c:v>
                </c:pt>
                <c:pt idx="9">
                  <c:v>MAX Final Bill</c:v>
                </c:pt>
                <c:pt idx="10">
                  <c:v>MIN Final Bill</c:v>
                </c:pt>
                <c:pt idx="11">
                  <c:v>COUNTA TOTAL PATIENTS</c:v>
                </c:pt>
              </c:strCache>
            </c:strRef>
          </c:cat>
          <c:val>
            <c:numRef>
              <c:f>'Formula Summary'!$B$3:$B$14</c:f>
              <c:numCache>
                <c:formatCode>General</c:formatCode>
                <c:ptCount val="12"/>
                <c:pt idx="0">
                  <c:v>9</c:v>
                </c:pt>
                <c:pt idx="1">
                  <c:v>61</c:v>
                </c:pt>
                <c:pt idx="2">
                  <c:v>36.5</c:v>
                </c:pt>
                <c:pt idx="3">
                  <c:v>10</c:v>
                </c:pt>
                <c:pt idx="4">
                  <c:v>6</c:v>
                </c:pt>
                <c:pt idx="5">
                  <c:v>4</c:v>
                </c:pt>
                <c:pt idx="6">
                  <c:v>563800</c:v>
                </c:pt>
                <c:pt idx="7">
                  <c:v>227600</c:v>
                </c:pt>
                <c:pt idx="8">
                  <c:v>56380</c:v>
                </c:pt>
                <c:pt idx="9">
                  <c:v>122100</c:v>
                </c:pt>
                <c:pt idx="10">
                  <c:v>16100</c:v>
                </c:pt>
                <c:pt idx="11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</xdr:row>
      <xdr:rowOff>100012</xdr:rowOff>
    </xdr:from>
    <xdr:to>
      <xdr:col>9</xdr:col>
      <xdr:colOff>542925</xdr:colOff>
      <xdr:row>15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786 Computers" refreshedDate="46257.546421064813" createdVersion="5" refreshedVersion="5" minRefreshableVersion="3" recordCount="10">
  <cacheSource type="worksheet">
    <worksheetSource ref="A2:N12" sheet="Hospital Data"/>
  </cacheSource>
  <cacheFields count="14">
    <cacheField name="Patient ID" numFmtId="0">
      <sharedItems count="10">
        <s v="P001"/>
        <s v="P002"/>
        <s v="P003"/>
        <s v="P004"/>
        <s v="P005"/>
        <s v="P006"/>
        <s v="P007"/>
        <s v="P008"/>
        <s v="P009"/>
        <s v="P010"/>
      </sharedItems>
    </cacheField>
    <cacheField name="Patient Name" numFmtId="0">
      <sharedItems/>
    </cacheField>
    <cacheField name="Gender" numFmtId="0">
      <sharedItems count="5">
        <s v="Male "/>
        <s v="Female"/>
        <s v="male"/>
        <s v="Female "/>
        <s v="  Female"/>
      </sharedItems>
    </cacheField>
    <cacheField name="Department" numFmtId="0">
      <sharedItems/>
    </cacheField>
    <cacheField name="Age" numFmtId="0">
      <sharedItems containsSemiMixedTypes="0" containsString="0" containsNumber="1" containsInteger="1" minValue="9" maxValue="61"/>
    </cacheField>
    <cacheField name="Days Admitted" numFmtId="0">
      <sharedItems containsSemiMixedTypes="0" containsString="0" containsNumber="1" containsInteger="1" minValue="2" maxValue="7"/>
    </cacheField>
    <cacheField name="Daily Charge" numFmtId="0">
      <sharedItems containsSemiMixedTypes="0" containsString="0" containsNumber="1" containsInteger="1" minValue="7000" maxValue="16000"/>
    </cacheField>
    <cacheField name="Medicine Cost" numFmtId="0">
      <sharedItems containsSemiMixedTypes="0" containsString="0" containsNumber="1" containsInteger="1" minValue="1200" maxValue="7500"/>
    </cacheField>
    <cacheField name="Test Cost" numFmtId="0">
      <sharedItems containsSemiMixedTypes="0" containsString="0" containsNumber="1" containsInteger="1" minValue="900" maxValue="5100"/>
    </cacheField>
    <cacheField name="Total Cost" numFmtId="0">
      <sharedItems containsSemiMixedTypes="0" containsString="0" containsNumber="1" containsInteger="1" minValue="16100" maxValue="124600"/>
    </cacheField>
    <cacheField name="Discount" numFmtId="0">
      <sharedItems containsSemiMixedTypes="0" containsString="0" containsNumber="1" containsInteger="1" minValue="0" maxValue="2500"/>
    </cacheField>
    <cacheField name="Final Bill" numFmtId="0">
      <sharedItems containsSemiMixedTypes="0" containsString="0" containsNumber="1" containsInteger="1" minValue="16100" maxValue="122100"/>
    </cacheField>
    <cacheField name="Status" numFmtId="0">
      <sharedItems/>
    </cacheField>
    <cacheField name="Pay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s v="Ali Khan"/>
    <x v="0"/>
    <s v="Cardiology"/>
    <n v="32"/>
    <n v="3"/>
    <n v="12000"/>
    <n v="3500"/>
    <n v="2500"/>
    <n v="42000"/>
    <n v="1000"/>
    <n v="41000"/>
    <s v="Under Treatment"/>
    <s v="Paid"/>
  </r>
  <r>
    <x v="1"/>
    <s v="Sara Ahmed"/>
    <x v="1"/>
    <s v="Neurology"/>
    <n v="45"/>
    <n v="5"/>
    <n v="15000"/>
    <n v="5000"/>
    <n v="4200"/>
    <n v="84200"/>
    <n v="2000"/>
    <n v="82200"/>
    <s v="Waiting"/>
    <s v="Pending"/>
  </r>
  <r>
    <x v="2"/>
    <s v="Hamza Ali"/>
    <x v="2"/>
    <s v="Orthopedics"/>
    <n v="28"/>
    <n v="2"/>
    <n v="10000"/>
    <n v="2500"/>
    <n v="1800"/>
    <n v="24300"/>
    <n v="500"/>
    <n v="23800"/>
    <s v="Under Treatment"/>
    <s v="Paid"/>
  </r>
  <r>
    <x v="3"/>
    <s v="Ayesha Noor"/>
    <x v="3"/>
    <s v="Pediatrics"/>
    <n v="12"/>
    <n v="4"/>
    <n v="8000"/>
    <n v="1800"/>
    <n v="1200"/>
    <n v="35000"/>
    <n v="0"/>
    <n v="35000"/>
    <s v="Discharge"/>
    <s v="Paid"/>
  </r>
  <r>
    <x v="4"/>
    <s v="Bilal Hussain"/>
    <x v="0"/>
    <s v="General Medicine"/>
    <n v="55"/>
    <n v="6"/>
    <n v="11000"/>
    <n v="6000"/>
    <n v="3500"/>
    <n v="75500"/>
    <n v="1500"/>
    <n v="74000"/>
    <s v="Waiting"/>
    <s v="Pending"/>
  </r>
  <r>
    <x v="5"/>
    <s v="Hina Fatima"/>
    <x v="1"/>
    <s v="Cardiology"/>
    <n v="39"/>
    <n v="3"/>
    <n v="14000"/>
    <n v="3200"/>
    <n v="2700"/>
    <n v="47900"/>
    <n v="700"/>
    <n v="47200"/>
    <s v="Discharge"/>
    <s v="Paid"/>
  </r>
  <r>
    <x v="6"/>
    <s v="Usman Raza"/>
    <x v="0"/>
    <s v="Neurology"/>
    <n v="61"/>
    <n v="7"/>
    <n v="16000"/>
    <n v="7500"/>
    <n v="5100"/>
    <n v="124600"/>
    <n v="2500"/>
    <n v="122100"/>
    <s v="Waiting"/>
    <s v="Pending"/>
  </r>
  <r>
    <x v="7"/>
    <s v="Zainab Malik"/>
    <x v="4"/>
    <s v="Pediatrics"/>
    <n v="9"/>
    <n v="2"/>
    <n v="7000"/>
    <n v="1200"/>
    <n v="900"/>
    <n v="16100"/>
    <n v="0"/>
    <n v="16100"/>
    <s v=" Under Treatment"/>
    <s v="Paid"/>
  </r>
  <r>
    <x v="8"/>
    <s v="Ahmed Raza"/>
    <x v="0"/>
    <s v="Orthopedics"/>
    <n v="36"/>
    <n v="4"/>
    <n v="13000"/>
    <n v="4100"/>
    <n v="3000"/>
    <n v="59100"/>
    <n v="1200"/>
    <n v="57900"/>
    <s v="Waiting"/>
    <s v="Pending"/>
  </r>
  <r>
    <x v="9"/>
    <s v="Maryam Noor"/>
    <x v="1"/>
    <s v="General Medicine"/>
    <n v="48"/>
    <n v="5"/>
    <n v="11500"/>
    <n v="4800"/>
    <n v="3200"/>
    <n v="65500"/>
    <n v="1000"/>
    <n v="64500"/>
    <s v="Discharge"/>
    <s v="Pa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7" cacheId="4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4" firstHeaderRow="1" firstDataRow="1" firstDataCol="1"/>
  <pivotFields count="14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2"/>
  </rowFields>
  <rowItems count="21">
    <i>
      <x/>
    </i>
    <i r="1">
      <x v="4"/>
    </i>
    <i>
      <x v="1"/>
    </i>
    <i r="1">
      <x v="1"/>
    </i>
    <i>
      <x v="2"/>
    </i>
    <i r="1">
      <x v="3"/>
    </i>
    <i>
      <x v="3"/>
    </i>
    <i r="1">
      <x v="2"/>
    </i>
    <i>
      <x v="4"/>
    </i>
    <i r="1">
      <x v="4"/>
    </i>
    <i>
      <x v="5"/>
    </i>
    <i r="1">
      <x v="1"/>
    </i>
    <i>
      <x v="6"/>
    </i>
    <i r="1">
      <x v="4"/>
    </i>
    <i>
      <x v="7"/>
    </i>
    <i r="1">
      <x/>
    </i>
    <i>
      <x v="8"/>
    </i>
    <i r="1">
      <x v="4"/>
    </i>
    <i>
      <x v="9"/>
    </i>
    <i r="1">
      <x v="1"/>
    </i>
    <i t="grand">
      <x/>
    </i>
  </rowItems>
  <colItems count="1">
    <i/>
  </colItems>
  <dataFields count="1">
    <dataField name="Count of Patien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tabSelected="1" workbookViewId="0">
      <selection activeCell="D14" sqref="D14"/>
    </sheetView>
  </sheetViews>
  <sheetFormatPr defaultRowHeight="15" x14ac:dyDescent="0.25"/>
  <cols>
    <col min="1" max="1" width="13.140625" bestFit="1" customWidth="1"/>
    <col min="2" max="2" width="21.5703125" bestFit="1" customWidth="1"/>
  </cols>
  <sheetData>
    <row r="3" spans="1:2" x14ac:dyDescent="0.25">
      <c r="A3" s="8" t="s">
        <v>64</v>
      </c>
      <c r="B3" t="s">
        <v>75</v>
      </c>
    </row>
    <row r="4" spans="1:2" x14ac:dyDescent="0.25">
      <c r="A4" s="16" t="s">
        <v>13</v>
      </c>
      <c r="B4" s="9">
        <v>1</v>
      </c>
    </row>
    <row r="5" spans="1:2" x14ac:dyDescent="0.25">
      <c r="A5" s="17" t="s">
        <v>59</v>
      </c>
      <c r="B5" s="9">
        <v>1</v>
      </c>
    </row>
    <row r="6" spans="1:2" x14ac:dyDescent="0.25">
      <c r="A6" s="16" t="s">
        <v>17</v>
      </c>
      <c r="B6" s="9">
        <v>1</v>
      </c>
    </row>
    <row r="7" spans="1:2" x14ac:dyDescent="0.25">
      <c r="A7" s="17" t="s">
        <v>60</v>
      </c>
      <c r="B7" s="9">
        <v>1</v>
      </c>
    </row>
    <row r="8" spans="1:2" x14ac:dyDescent="0.25">
      <c r="A8" s="16" t="s">
        <v>21</v>
      </c>
      <c r="B8" s="9">
        <v>1</v>
      </c>
    </row>
    <row r="9" spans="1:2" x14ac:dyDescent="0.25">
      <c r="A9" s="17" t="s">
        <v>63</v>
      </c>
      <c r="B9" s="9">
        <v>1</v>
      </c>
    </row>
    <row r="10" spans="1:2" x14ac:dyDescent="0.25">
      <c r="A10" s="16" t="s">
        <v>24</v>
      </c>
      <c r="B10" s="9">
        <v>1</v>
      </c>
    </row>
    <row r="11" spans="1:2" x14ac:dyDescent="0.25">
      <c r="A11" s="17" t="s">
        <v>61</v>
      </c>
      <c r="B11" s="9">
        <v>1</v>
      </c>
    </row>
    <row r="12" spans="1:2" x14ac:dyDescent="0.25">
      <c r="A12" s="16" t="s">
        <v>27</v>
      </c>
      <c r="B12" s="9">
        <v>1</v>
      </c>
    </row>
    <row r="13" spans="1:2" x14ac:dyDescent="0.25">
      <c r="A13" s="17" t="s">
        <v>59</v>
      </c>
      <c r="B13" s="9">
        <v>1</v>
      </c>
    </row>
    <row r="14" spans="1:2" x14ac:dyDescent="0.25">
      <c r="A14" s="16" t="s">
        <v>30</v>
      </c>
      <c r="B14" s="9">
        <v>1</v>
      </c>
    </row>
    <row r="15" spans="1:2" x14ac:dyDescent="0.25">
      <c r="A15" s="17" t="s">
        <v>60</v>
      </c>
      <c r="B15" s="9">
        <v>1</v>
      </c>
    </row>
    <row r="16" spans="1:2" x14ac:dyDescent="0.25">
      <c r="A16" s="16" t="s">
        <v>32</v>
      </c>
      <c r="B16" s="9">
        <v>1</v>
      </c>
    </row>
    <row r="17" spans="1:2" x14ac:dyDescent="0.25">
      <c r="A17" s="17" t="s">
        <v>59</v>
      </c>
      <c r="B17" s="9">
        <v>1</v>
      </c>
    </row>
    <row r="18" spans="1:2" x14ac:dyDescent="0.25">
      <c r="A18" s="16" t="s">
        <v>34</v>
      </c>
      <c r="B18" s="9">
        <v>1</v>
      </c>
    </row>
    <row r="19" spans="1:2" x14ac:dyDescent="0.25">
      <c r="A19" s="17" t="s">
        <v>62</v>
      </c>
      <c r="B19" s="9">
        <v>1</v>
      </c>
    </row>
    <row r="20" spans="1:2" x14ac:dyDescent="0.25">
      <c r="A20" s="16" t="s">
        <v>36</v>
      </c>
      <c r="B20" s="9">
        <v>1</v>
      </c>
    </row>
    <row r="21" spans="1:2" x14ac:dyDescent="0.25">
      <c r="A21" s="17" t="s">
        <v>59</v>
      </c>
      <c r="B21" s="9">
        <v>1</v>
      </c>
    </row>
    <row r="22" spans="1:2" x14ac:dyDescent="0.25">
      <c r="A22" s="16" t="s">
        <v>38</v>
      </c>
      <c r="B22" s="9">
        <v>1</v>
      </c>
    </row>
    <row r="23" spans="1:2" x14ac:dyDescent="0.25">
      <c r="A23" s="17" t="s">
        <v>60</v>
      </c>
      <c r="B23" s="9">
        <v>1</v>
      </c>
    </row>
    <row r="24" spans="1:2" x14ac:dyDescent="0.25">
      <c r="A24" s="16" t="s">
        <v>65</v>
      </c>
      <c r="B24" s="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pane xSplit="2" ySplit="2" topLeftCell="H3" activePane="bottomRight" state="frozen"/>
      <selection pane="topRight"/>
      <selection pane="bottomLeft"/>
      <selection pane="bottomRight" activeCell="N16" sqref="N16"/>
    </sheetView>
  </sheetViews>
  <sheetFormatPr defaultRowHeight="15" x14ac:dyDescent="0.25"/>
  <cols>
    <col min="1" max="1" width="22.5703125" customWidth="1"/>
    <col min="2" max="2" width="22.85546875" customWidth="1"/>
    <col min="3" max="3" width="31.140625" customWidth="1"/>
    <col min="4" max="4" width="20" customWidth="1"/>
    <col min="5" max="5" width="13" customWidth="1"/>
    <col min="6" max="6" width="25.140625" customWidth="1"/>
    <col min="7" max="7" width="21.28515625" customWidth="1"/>
    <col min="8" max="8" width="23.85546875" customWidth="1"/>
    <col min="9" max="9" width="15.42578125" customWidth="1"/>
    <col min="10" max="10" width="16.85546875" customWidth="1"/>
    <col min="11" max="11" width="13.140625" customWidth="1"/>
    <col min="12" max="12" width="17.28515625" customWidth="1"/>
    <col min="13" max="13" width="21.85546875" customWidth="1"/>
    <col min="14" max="14" width="16" customWidth="1"/>
  </cols>
  <sheetData>
    <row r="1" spans="1:14" ht="20.2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6" t="s">
        <v>1</v>
      </c>
      <c r="B2" s="6" t="s">
        <v>2</v>
      </c>
      <c r="C2" s="6" t="s">
        <v>58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66</v>
      </c>
    </row>
    <row r="3" spans="1:14" ht="16.5" x14ac:dyDescent="0.25">
      <c r="A3" s="7" t="s">
        <v>13</v>
      </c>
      <c r="B3" s="7" t="s">
        <v>14</v>
      </c>
      <c r="C3" s="7" t="s">
        <v>59</v>
      </c>
      <c r="D3" s="7" t="s">
        <v>15</v>
      </c>
      <c r="E3" s="7">
        <v>32</v>
      </c>
      <c r="F3" s="7">
        <v>3</v>
      </c>
      <c r="G3" s="7">
        <v>12000</v>
      </c>
      <c r="H3" s="7">
        <v>3500</v>
      </c>
      <c r="I3" s="7">
        <v>2500</v>
      </c>
      <c r="J3" s="7">
        <f t="shared" ref="J3:J12" si="0">F3*G3+H3+I3</f>
        <v>42000</v>
      </c>
      <c r="K3" s="7">
        <v>1000</v>
      </c>
      <c r="L3" s="7">
        <f t="shared" ref="L3:L12" si="1">J3-K3</f>
        <v>41000</v>
      </c>
      <c r="M3" s="7" t="s">
        <v>68</v>
      </c>
      <c r="N3" s="7" t="s">
        <v>16</v>
      </c>
    </row>
    <row r="4" spans="1:14" ht="16.5" x14ac:dyDescent="0.25">
      <c r="A4" s="7" t="s">
        <v>17</v>
      </c>
      <c r="B4" s="7" t="s">
        <v>18</v>
      </c>
      <c r="C4" s="7" t="s">
        <v>60</v>
      </c>
      <c r="D4" s="7" t="s">
        <v>19</v>
      </c>
      <c r="E4" s="7">
        <v>45</v>
      </c>
      <c r="F4" s="7">
        <v>5</v>
      </c>
      <c r="G4" s="7">
        <v>15000</v>
      </c>
      <c r="H4" s="7">
        <v>5000</v>
      </c>
      <c r="I4" s="7">
        <v>4200</v>
      </c>
      <c r="J4" s="7">
        <f t="shared" si="0"/>
        <v>84200</v>
      </c>
      <c r="K4" s="7">
        <v>2000</v>
      </c>
      <c r="L4" s="7">
        <f t="shared" si="1"/>
        <v>82200</v>
      </c>
      <c r="M4" s="7" t="s">
        <v>69</v>
      </c>
      <c r="N4" s="7" t="s">
        <v>20</v>
      </c>
    </row>
    <row r="5" spans="1:14" ht="16.5" x14ac:dyDescent="0.25">
      <c r="A5" s="7" t="s">
        <v>21</v>
      </c>
      <c r="B5" s="7" t="s">
        <v>22</v>
      </c>
      <c r="C5" s="7" t="s">
        <v>63</v>
      </c>
      <c r="D5" s="7" t="s">
        <v>23</v>
      </c>
      <c r="E5" s="7">
        <v>28</v>
      </c>
      <c r="F5" s="7">
        <v>2</v>
      </c>
      <c r="G5" s="7">
        <v>10000</v>
      </c>
      <c r="H5" s="7">
        <v>2500</v>
      </c>
      <c r="I5" s="7">
        <v>1800</v>
      </c>
      <c r="J5" s="7">
        <f t="shared" si="0"/>
        <v>24300</v>
      </c>
      <c r="K5" s="7">
        <v>500</v>
      </c>
      <c r="L5" s="7">
        <f t="shared" si="1"/>
        <v>23800</v>
      </c>
      <c r="M5" s="7" t="s">
        <v>68</v>
      </c>
      <c r="N5" s="7" t="s">
        <v>16</v>
      </c>
    </row>
    <row r="6" spans="1:14" ht="16.5" x14ac:dyDescent="0.25">
      <c r="A6" s="7" t="s">
        <v>24</v>
      </c>
      <c r="B6" s="7" t="s">
        <v>25</v>
      </c>
      <c r="C6" s="7" t="s">
        <v>61</v>
      </c>
      <c r="D6" s="7" t="s">
        <v>26</v>
      </c>
      <c r="E6" s="7">
        <v>12</v>
      </c>
      <c r="F6" s="7">
        <v>4</v>
      </c>
      <c r="G6" s="7">
        <v>8000</v>
      </c>
      <c r="H6" s="7">
        <v>1800</v>
      </c>
      <c r="I6" s="7">
        <v>1200</v>
      </c>
      <c r="J6" s="7">
        <f t="shared" si="0"/>
        <v>35000</v>
      </c>
      <c r="K6" s="7">
        <v>0</v>
      </c>
      <c r="L6" s="7">
        <f t="shared" si="1"/>
        <v>35000</v>
      </c>
      <c r="M6" s="7" t="s">
        <v>67</v>
      </c>
      <c r="N6" s="7" t="s">
        <v>16</v>
      </c>
    </row>
    <row r="7" spans="1:14" ht="16.5" x14ac:dyDescent="0.25">
      <c r="A7" s="7" t="s">
        <v>27</v>
      </c>
      <c r="B7" s="7" t="s">
        <v>28</v>
      </c>
      <c r="C7" s="7" t="s">
        <v>59</v>
      </c>
      <c r="D7" s="7" t="s">
        <v>29</v>
      </c>
      <c r="E7" s="7">
        <v>55</v>
      </c>
      <c r="F7" s="7">
        <v>6</v>
      </c>
      <c r="G7" s="7">
        <v>11000</v>
      </c>
      <c r="H7" s="7">
        <v>6000</v>
      </c>
      <c r="I7" s="7">
        <v>3500</v>
      </c>
      <c r="J7" s="7">
        <f t="shared" si="0"/>
        <v>75500</v>
      </c>
      <c r="K7" s="7">
        <v>1500</v>
      </c>
      <c r="L7" s="7">
        <f t="shared" si="1"/>
        <v>74000</v>
      </c>
      <c r="M7" s="7" t="s">
        <v>69</v>
      </c>
      <c r="N7" s="7" t="s">
        <v>20</v>
      </c>
    </row>
    <row r="8" spans="1:14" ht="16.5" x14ac:dyDescent="0.25">
      <c r="A8" s="7" t="s">
        <v>30</v>
      </c>
      <c r="B8" s="7" t="s">
        <v>31</v>
      </c>
      <c r="C8" s="7" t="s">
        <v>60</v>
      </c>
      <c r="D8" s="7" t="s">
        <v>15</v>
      </c>
      <c r="E8" s="7">
        <v>39</v>
      </c>
      <c r="F8" s="7">
        <v>3</v>
      </c>
      <c r="G8" s="7">
        <v>14000</v>
      </c>
      <c r="H8" s="7">
        <v>3200</v>
      </c>
      <c r="I8" s="7">
        <v>2700</v>
      </c>
      <c r="J8" s="7">
        <f t="shared" si="0"/>
        <v>47900</v>
      </c>
      <c r="K8" s="7">
        <v>700</v>
      </c>
      <c r="L8" s="7">
        <f t="shared" si="1"/>
        <v>47200</v>
      </c>
      <c r="M8" s="7" t="s">
        <v>67</v>
      </c>
      <c r="N8" s="7" t="s">
        <v>16</v>
      </c>
    </row>
    <row r="9" spans="1:14" ht="16.5" x14ac:dyDescent="0.25">
      <c r="A9" s="7" t="s">
        <v>32</v>
      </c>
      <c r="B9" s="7" t="s">
        <v>33</v>
      </c>
      <c r="C9" s="7" t="s">
        <v>59</v>
      </c>
      <c r="D9" s="7" t="s">
        <v>19</v>
      </c>
      <c r="E9" s="7">
        <v>61</v>
      </c>
      <c r="F9" s="7">
        <v>7</v>
      </c>
      <c r="G9" s="7">
        <v>16000</v>
      </c>
      <c r="H9" s="7">
        <v>7500</v>
      </c>
      <c r="I9" s="7">
        <v>5100</v>
      </c>
      <c r="J9" s="7">
        <f t="shared" si="0"/>
        <v>124600</v>
      </c>
      <c r="K9" s="7">
        <v>2500</v>
      </c>
      <c r="L9" s="7">
        <f t="shared" si="1"/>
        <v>122100</v>
      </c>
      <c r="M9" s="7" t="s">
        <v>69</v>
      </c>
      <c r="N9" s="7" t="s">
        <v>20</v>
      </c>
    </row>
    <row r="10" spans="1:14" ht="16.5" x14ac:dyDescent="0.25">
      <c r="A10" s="7" t="s">
        <v>34</v>
      </c>
      <c r="B10" s="7" t="s">
        <v>35</v>
      </c>
      <c r="C10" s="7" t="s">
        <v>62</v>
      </c>
      <c r="D10" s="7" t="s">
        <v>26</v>
      </c>
      <c r="E10" s="7">
        <v>9</v>
      </c>
      <c r="F10" s="7">
        <v>2</v>
      </c>
      <c r="G10" s="7">
        <v>7000</v>
      </c>
      <c r="H10" s="7">
        <v>1200</v>
      </c>
      <c r="I10" s="7">
        <v>900</v>
      </c>
      <c r="J10" s="7">
        <f t="shared" si="0"/>
        <v>16100</v>
      </c>
      <c r="K10" s="7">
        <v>0</v>
      </c>
      <c r="L10" s="7">
        <f t="shared" si="1"/>
        <v>16100</v>
      </c>
      <c r="M10" s="7" t="s">
        <v>70</v>
      </c>
      <c r="N10" s="7" t="s">
        <v>16</v>
      </c>
    </row>
    <row r="11" spans="1:14" ht="16.5" x14ac:dyDescent="0.25">
      <c r="A11" s="7" t="s">
        <v>36</v>
      </c>
      <c r="B11" s="7" t="s">
        <v>37</v>
      </c>
      <c r="C11" s="7" t="s">
        <v>59</v>
      </c>
      <c r="D11" s="7" t="s">
        <v>23</v>
      </c>
      <c r="E11" s="7">
        <v>36</v>
      </c>
      <c r="F11" s="7">
        <v>4</v>
      </c>
      <c r="G11" s="7">
        <v>13000</v>
      </c>
      <c r="H11" s="7">
        <v>4100</v>
      </c>
      <c r="I11" s="7">
        <v>3000</v>
      </c>
      <c r="J11" s="7">
        <f t="shared" si="0"/>
        <v>59100</v>
      </c>
      <c r="K11" s="7">
        <v>1200</v>
      </c>
      <c r="L11" s="7">
        <f t="shared" si="1"/>
        <v>57900</v>
      </c>
      <c r="M11" s="7" t="s">
        <v>69</v>
      </c>
      <c r="N11" s="7" t="s">
        <v>20</v>
      </c>
    </row>
    <row r="12" spans="1:14" ht="16.5" x14ac:dyDescent="0.25">
      <c r="A12" s="7" t="s">
        <v>38</v>
      </c>
      <c r="B12" s="7" t="s">
        <v>39</v>
      </c>
      <c r="C12" s="7" t="s">
        <v>60</v>
      </c>
      <c r="D12" s="7" t="s">
        <v>29</v>
      </c>
      <c r="E12" s="7">
        <v>48</v>
      </c>
      <c r="F12" s="7">
        <v>5</v>
      </c>
      <c r="G12" s="7">
        <v>11500</v>
      </c>
      <c r="H12" s="7">
        <v>4800</v>
      </c>
      <c r="I12" s="7">
        <v>3200</v>
      </c>
      <c r="J12" s="7">
        <f t="shared" si="0"/>
        <v>65500</v>
      </c>
      <c r="K12" s="7">
        <v>1000</v>
      </c>
      <c r="L12" s="7">
        <f t="shared" si="1"/>
        <v>64500</v>
      </c>
      <c r="M12" s="7" t="s">
        <v>67</v>
      </c>
      <c r="N12" s="7" t="s">
        <v>16</v>
      </c>
    </row>
    <row r="14" spans="1:14" ht="16.5" x14ac:dyDescent="0.3">
      <c r="A14" s="12" t="s">
        <v>72</v>
      </c>
      <c r="B14" s="13" t="s">
        <v>73</v>
      </c>
      <c r="C14" s="15" t="s">
        <v>74</v>
      </c>
    </row>
    <row r="15" spans="1:14" ht="15.75" x14ac:dyDescent="0.25">
      <c r="A15" s="10" t="s">
        <v>14</v>
      </c>
      <c r="B15" s="11" t="str">
        <f>VLOOKUP(A3,A2:N12,14,)</f>
        <v>Paid</v>
      </c>
      <c r="C15" s="14" t="str">
        <f>VLOOKUP(A3,A3:N12,13,)</f>
        <v>Under Treatment</v>
      </c>
    </row>
    <row r="16" spans="1:14" ht="15.75" x14ac:dyDescent="0.25">
      <c r="A16" s="11" t="s">
        <v>18</v>
      </c>
      <c r="B16" s="11" t="str">
        <f t="shared" ref="B16:B24" si="2">VLOOKUP(A4,A3:N13,14,)</f>
        <v>Pending</v>
      </c>
      <c r="C16" s="14" t="str">
        <f t="shared" ref="C16:C24" si="3">VLOOKUP(A4,A4:N13,13,)</f>
        <v>Waiting</v>
      </c>
    </row>
    <row r="17" spans="1:3" ht="15.75" x14ac:dyDescent="0.25">
      <c r="A17" s="11" t="s">
        <v>22</v>
      </c>
      <c r="B17" s="11" t="str">
        <f t="shared" si="2"/>
        <v>Paid</v>
      </c>
      <c r="C17" s="14" t="str">
        <f t="shared" si="3"/>
        <v>Under Treatment</v>
      </c>
    </row>
    <row r="18" spans="1:3" ht="15.75" x14ac:dyDescent="0.25">
      <c r="A18" s="11" t="s">
        <v>25</v>
      </c>
      <c r="B18" s="11" t="str">
        <f t="shared" si="2"/>
        <v>Paid</v>
      </c>
      <c r="C18" s="14" t="str">
        <f t="shared" si="3"/>
        <v>Discharge</v>
      </c>
    </row>
    <row r="19" spans="1:3" ht="15.75" x14ac:dyDescent="0.25">
      <c r="A19" s="11" t="s">
        <v>28</v>
      </c>
      <c r="B19" s="11" t="str">
        <f t="shared" si="2"/>
        <v>Pending</v>
      </c>
      <c r="C19" s="14" t="str">
        <f t="shared" si="3"/>
        <v>Waiting</v>
      </c>
    </row>
    <row r="20" spans="1:3" ht="15.75" x14ac:dyDescent="0.25">
      <c r="A20" s="11" t="s">
        <v>31</v>
      </c>
      <c r="B20" s="11" t="str">
        <f t="shared" si="2"/>
        <v>Paid</v>
      </c>
      <c r="C20" s="14" t="str">
        <f t="shared" si="3"/>
        <v>Discharge</v>
      </c>
    </row>
    <row r="21" spans="1:3" ht="15.75" x14ac:dyDescent="0.25">
      <c r="A21" s="11" t="s">
        <v>33</v>
      </c>
      <c r="B21" s="11" t="str">
        <f t="shared" si="2"/>
        <v>Pending</v>
      </c>
      <c r="C21" s="14" t="str">
        <f t="shared" si="3"/>
        <v>Waiting</v>
      </c>
    </row>
    <row r="22" spans="1:3" ht="15.75" x14ac:dyDescent="0.25">
      <c r="A22" s="11" t="s">
        <v>35</v>
      </c>
      <c r="B22" s="11" t="str">
        <f t="shared" si="2"/>
        <v>Paid</v>
      </c>
      <c r="C22" s="14" t="str">
        <f t="shared" si="3"/>
        <v xml:space="preserve"> Under Treatment</v>
      </c>
    </row>
    <row r="23" spans="1:3" ht="15.75" x14ac:dyDescent="0.25">
      <c r="A23" s="11" t="s">
        <v>37</v>
      </c>
      <c r="B23" s="11" t="str">
        <f t="shared" si="2"/>
        <v>Pending</v>
      </c>
      <c r="C23" s="14" t="str">
        <f t="shared" si="3"/>
        <v>Waiting</v>
      </c>
    </row>
    <row r="24" spans="1:3" ht="15.75" x14ac:dyDescent="0.25">
      <c r="A24" s="11" t="s">
        <v>39</v>
      </c>
      <c r="B24" s="11" t="str">
        <f t="shared" si="2"/>
        <v>Paid</v>
      </c>
      <c r="C24" s="14" t="str">
        <f t="shared" si="3"/>
        <v>Discharge</v>
      </c>
    </row>
  </sheetData>
  <autoFilter ref="A2:N12"/>
  <mergeCells count="1">
    <mergeCell ref="A1:N1"/>
  </mergeCells>
  <conditionalFormatting sqref="L3:M12">
    <cfRule type="cellIs" dxfId="8" priority="6" operator="greaterThan">
      <formula>60000</formula>
    </cfRule>
  </conditionalFormatting>
  <conditionalFormatting sqref="E3:E12">
    <cfRule type="cellIs" dxfId="7" priority="7" operator="lessThan">
      <formula>18</formula>
    </cfRule>
  </conditionalFormatting>
  <conditionalFormatting sqref="N3:N12">
    <cfRule type="cellIs" dxfId="6" priority="1" operator="lessThan">
      <formula>"pending"</formula>
    </cfRule>
    <cfRule type="cellIs" dxfId="5" priority="2" operator="greaterThan">
      <formula>"pendin"</formula>
    </cfRule>
    <cfRule type="cellIs" dxfId="4" priority="3" operator="greaterThan">
      <formula>"Pending"</formula>
    </cfRule>
    <cfRule type="cellIs" dxfId="3" priority="4" operator="lessThan">
      <formula>"paid"</formula>
    </cfRule>
    <cfRule type="cellIs" dxfId="2" priority="5" operator="greaterThan">
      <formula>"paid"</formula>
    </cfRule>
    <cfRule type="expression" dxfId="1" priority="8">
      <formula>N3="Pending"</formula>
    </cfRule>
    <cfRule type="expression" dxfId="0" priority="9">
      <formula>N3="Paid"</formula>
    </cfRule>
  </conditionalFormatting>
  <dataValidations count="8">
    <dataValidation type="textLength" sqref="A3:B12 B14 A13:A14 A16:A100">
      <formula1>4</formula1>
      <formula2>10</formula2>
    </dataValidation>
    <dataValidation type="decimal" sqref="G20:G21 F22:J23 G24:K100 H16:K21 F15:J15 G16:G18 E14:I14 G3:K13">
      <formula1>0</formula1>
      <formula2>1000000</formula2>
    </dataValidation>
    <dataValidation type="whole" sqref="D22:D23 E24:E100 D15 E16:E21 C14 E3:E13">
      <formula1>1</formula1>
      <formula2>120</formula2>
    </dataValidation>
    <dataValidation type="whole" sqref="E22:E23 F24:F100 E15 F16:F21 D14 F3:F13">
      <formula1>1</formula1>
      <formula2>365</formula2>
    </dataValidation>
    <dataValidation type="list" sqref="L22:M23 N24:N100 M15 N16:N21 L14 N3:N13">
      <formula1>"Paid,Pending"</formula1>
    </dataValidation>
    <dataValidation type="list" allowBlank="1" showInputMessage="1" showErrorMessage="1" errorTitle="rule" error="chal be_x000a_" sqref="C3:C12">
      <formula1>"female,male"</formula1>
    </dataValidation>
    <dataValidation type="list" allowBlank="1" showInputMessage="1" showErrorMessage="1" errorTitle="rule" error="be in your limit_x000a_" sqref="D3:D12">
      <formula1>"Cardiology,Neurology,Pediatrics,Orthopedics,General"</formula1>
    </dataValidation>
    <dataValidation type="list" sqref="D13 D16:D100 C15:C24">
      <formula1>"Cardiology,Neurology,Orthopedics,Pediatrics,General Medicine"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opLeftCell="A2" workbookViewId="0">
      <selection activeCell="L7" sqref="L7"/>
    </sheetView>
  </sheetViews>
  <sheetFormatPr defaultRowHeight="15" x14ac:dyDescent="0.25"/>
  <cols>
    <col min="1" max="1" width="28" customWidth="1"/>
    <col min="2" max="2" width="24" customWidth="1"/>
  </cols>
  <sheetData>
    <row r="1" spans="1:2" ht="21" x14ac:dyDescent="0.35">
      <c r="A1" s="2" t="s">
        <v>40</v>
      </c>
      <c r="B1" s="3"/>
    </row>
    <row r="2" spans="1:2" x14ac:dyDescent="0.25">
      <c r="A2" s="1" t="s">
        <v>41</v>
      </c>
      <c r="B2" s="1" t="s">
        <v>42</v>
      </c>
    </row>
    <row r="3" spans="1:2" x14ac:dyDescent="0.25">
      <c r="A3" t="s">
        <v>43</v>
      </c>
      <c r="B3">
        <f>MIN('Hospital Data'!E3:E12)</f>
        <v>9</v>
      </c>
    </row>
    <row r="4" spans="1:2" x14ac:dyDescent="0.25">
      <c r="A4" t="s">
        <v>44</v>
      </c>
      <c r="B4">
        <f>MAX('Hospital Data'!E3:E12)</f>
        <v>61</v>
      </c>
    </row>
    <row r="5" spans="1:2" x14ac:dyDescent="0.25">
      <c r="A5" t="s">
        <v>45</v>
      </c>
      <c r="B5">
        <f>AVERAGE('Hospital Data'!E3:E12)</f>
        <v>36.5</v>
      </c>
    </row>
    <row r="6" spans="1:2" x14ac:dyDescent="0.25">
      <c r="A6" t="s">
        <v>46</v>
      </c>
      <c r="B6">
        <f>COUNT('Hospital Data'!E3:E12)</f>
        <v>10</v>
      </c>
    </row>
    <row r="7" spans="1:2" x14ac:dyDescent="0.25">
      <c r="A7" t="s">
        <v>47</v>
      </c>
      <c r="B7">
        <f>COUNTIF('Hospital Data'!N3:N12,"Paid")</f>
        <v>6</v>
      </c>
    </row>
    <row r="8" spans="1:2" x14ac:dyDescent="0.25">
      <c r="A8" t="s">
        <v>48</v>
      </c>
      <c r="B8">
        <f>COUNTIF('Hospital Data'!N3:N12,"Pending")</f>
        <v>4</v>
      </c>
    </row>
    <row r="9" spans="1:2" x14ac:dyDescent="0.25">
      <c r="A9" t="s">
        <v>49</v>
      </c>
      <c r="B9">
        <f>SUM('Hospital Data'!L3:L12)</f>
        <v>563800</v>
      </c>
    </row>
    <row r="10" spans="1:2" x14ac:dyDescent="0.25">
      <c r="A10" t="s">
        <v>50</v>
      </c>
      <c r="B10">
        <f>SUMIF('Hospital Data'!N3:N12,"Paid",'Hospital Data'!L3:L12)</f>
        <v>227600</v>
      </c>
    </row>
    <row r="11" spans="1:2" x14ac:dyDescent="0.25">
      <c r="A11" t="s">
        <v>51</v>
      </c>
      <c r="B11">
        <f>AVERAGE('Hospital Data'!L3:L12)</f>
        <v>56380</v>
      </c>
    </row>
    <row r="12" spans="1:2" x14ac:dyDescent="0.25">
      <c r="A12" t="s">
        <v>52</v>
      </c>
      <c r="B12">
        <f>MAX('Hospital Data'!L3:L12)</f>
        <v>122100</v>
      </c>
    </row>
    <row r="13" spans="1:2" x14ac:dyDescent="0.25">
      <c r="A13" t="s">
        <v>53</v>
      </c>
      <c r="B13">
        <f>MIN('Hospital Data'!L3:L12)</f>
        <v>16100</v>
      </c>
    </row>
    <row r="14" spans="1:2" x14ac:dyDescent="0.25">
      <c r="A14" t="s">
        <v>71</v>
      </c>
      <c r="B14">
        <f>COUNTA('Formula Summary'!B3:B12)</f>
        <v>10</v>
      </c>
    </row>
  </sheetData>
  <mergeCells count="1">
    <mergeCell ref="A1:B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opLeftCell="A2" workbookViewId="0">
      <selection activeCell="A23" sqref="A23"/>
    </sheetView>
  </sheetViews>
  <sheetFormatPr defaultRowHeight="15" x14ac:dyDescent="0.25"/>
  <cols>
    <col min="1" max="1" width="24" customWidth="1"/>
    <col min="2" max="4" width="18" customWidth="1"/>
  </cols>
  <sheetData>
    <row r="1" spans="1:4" ht="21" x14ac:dyDescent="0.35">
      <c r="A1" s="2" t="s">
        <v>54</v>
      </c>
      <c r="B1" s="3"/>
      <c r="C1" s="3"/>
      <c r="D1" s="3"/>
    </row>
    <row r="2" spans="1:4" x14ac:dyDescent="0.25">
      <c r="A2" s="1" t="s">
        <v>3</v>
      </c>
      <c r="B2" s="1" t="s">
        <v>55</v>
      </c>
      <c r="C2" s="1" t="s">
        <v>56</v>
      </c>
      <c r="D2" s="1" t="s">
        <v>57</v>
      </c>
    </row>
    <row r="3" spans="1:4" x14ac:dyDescent="0.25">
      <c r="A3" t="s">
        <v>15</v>
      </c>
      <c r="B3">
        <f>COUNTIF('Hospital Data'!D3:D12,A3)</f>
        <v>2</v>
      </c>
      <c r="C3">
        <f>SUMIF('Hospital Data'!D3:D12,A3,'Hospital Data'!L3:L12)</f>
        <v>88200</v>
      </c>
      <c r="D3">
        <f>AVERAGEIF('Hospital Data'!D3:D12,A3,'Hospital Data'!L3:L12)</f>
        <v>44100</v>
      </c>
    </row>
    <row r="4" spans="1:4" x14ac:dyDescent="0.25">
      <c r="A4" t="s">
        <v>19</v>
      </c>
      <c r="B4">
        <f>COUNTIF('Hospital Data'!D3:D12,A4)</f>
        <v>2</v>
      </c>
      <c r="C4">
        <f>SUMIF('Hospital Data'!D3:D12,A4,'Hospital Data'!L3:L12)</f>
        <v>204300</v>
      </c>
      <c r="D4">
        <f>AVERAGEIF('Hospital Data'!D3:D12,A4,'Hospital Data'!L3:L12)</f>
        <v>102150</v>
      </c>
    </row>
    <row r="5" spans="1:4" x14ac:dyDescent="0.25">
      <c r="A5" t="s">
        <v>23</v>
      </c>
      <c r="B5">
        <f>COUNTIF('Hospital Data'!D3:D12,A5)</f>
        <v>2</v>
      </c>
      <c r="C5">
        <f>SUMIF('Hospital Data'!D3:D12,A5,'Hospital Data'!L3:L12)</f>
        <v>81700</v>
      </c>
      <c r="D5">
        <f>AVERAGEIF('Hospital Data'!D3:D12,A5,'Hospital Data'!L3:L12)</f>
        <v>40850</v>
      </c>
    </row>
    <row r="6" spans="1:4" x14ac:dyDescent="0.25">
      <c r="A6" t="s">
        <v>26</v>
      </c>
      <c r="B6">
        <f>COUNTIF('Hospital Data'!D3:D12,A6)</f>
        <v>2</v>
      </c>
      <c r="C6">
        <f>SUMIF('Hospital Data'!D3:D12,A6,'Hospital Data'!L3:L12)</f>
        <v>51100</v>
      </c>
      <c r="D6">
        <f>AVERAGEIF('Hospital Data'!D3:D12,A6,'Hospital Data'!L3:L12)</f>
        <v>25550</v>
      </c>
    </row>
    <row r="7" spans="1:4" x14ac:dyDescent="0.25">
      <c r="A7" t="s">
        <v>29</v>
      </c>
      <c r="B7">
        <f>COUNTIF('Hospital Data'!D3:D12,A7)</f>
        <v>2</v>
      </c>
      <c r="C7">
        <f>SUMIF('Hospital Data'!D3:D12,A7,'Hospital Data'!L3:L12)</f>
        <v>138500</v>
      </c>
      <c r="D7">
        <f>AVERAGEIF('Hospital Data'!D3:D12,A7,'Hospital Data'!L3:L12)</f>
        <v>69250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Hospital Data</vt:lpstr>
      <vt:lpstr>Formula Summary</vt:lpstr>
      <vt:lpstr>Pivot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786 Computers</cp:lastModifiedBy>
  <dcterms:created xsi:type="dcterms:W3CDTF">2026-08-22T18:33:07Z</dcterms:created>
  <dcterms:modified xsi:type="dcterms:W3CDTF">2026-08-23T08:17:53Z</dcterms:modified>
</cp:coreProperties>
</file>